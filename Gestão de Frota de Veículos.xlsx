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slicers/slicer1.xml" ContentType="application/vnd.ms-excel.slicer+xml"/>
  <Override PartName="/xl/drawings/drawing3.xml" ContentType="application/vnd.openxmlformats-officedocument.drawing+xml"/>
  <Override PartName="/xl/ctrlProps/ctrlProp7.xml" ContentType="application/vnd.ms-excel.controlproperties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trlProps/ctrlProp8.xml" ContentType="application/vnd.ms-excel.controlproperties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trlProps/ctrlProp9.xml" ContentType="application/vnd.ms-excel.controlproperties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trlProps/ctrlProp10.xml" ContentType="application/vnd.ms-excel.controlpropertie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8_{5296C279-19B8-46EC-88C2-BAF89EC991E4}" xr6:coauthVersionLast="47" xr6:coauthVersionMax="47" xr10:uidLastSave="{00000000-0000-0000-0000-000000000000}"/>
  <bookViews>
    <workbookView xWindow="-110" yWindow="-110" windowWidth="19420" windowHeight="10300" xr2:uid="{5AEF3AE2-8B4D-42E5-9073-05EC623D689B}"/>
  </bookViews>
  <sheets>
    <sheet name="SISTEMA DE GESTÃO" sheetId="1" r:id="rId1"/>
    <sheet name="Dashboard" sheetId="2" r:id="rId2"/>
    <sheet name="Frota" sheetId="3" r:id="rId3"/>
    <sheet name="Manutencao" sheetId="4" r:id="rId4"/>
    <sheet name="Abastecimento" sheetId="5" r:id="rId5"/>
    <sheet name="Ocorrencias" sheetId="6" r:id="rId6"/>
  </sheets>
  <definedNames>
    <definedName name="SegmentaçãodeDados_Tip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D5" i="2"/>
  <c r="B5" i="2"/>
</calcChain>
</file>

<file path=xl/sharedStrings.xml><?xml version="1.0" encoding="utf-8"?>
<sst xmlns="http://schemas.openxmlformats.org/spreadsheetml/2006/main" count="103" uniqueCount="72">
  <si>
    <t>ID</t>
  </si>
  <si>
    <t>Placa</t>
  </si>
  <si>
    <t>Modelo</t>
  </si>
  <si>
    <t>Tipo</t>
  </si>
  <si>
    <t>Ano</t>
  </si>
  <si>
    <t>Status</t>
  </si>
  <si>
    <t>Km Atual</t>
  </si>
  <si>
    <t>BRA2E19</t>
  </si>
  <si>
    <t>Scania R450</t>
  </si>
  <si>
    <t>Pesado</t>
  </si>
  <si>
    <t>Ativo</t>
  </si>
  <si>
    <t>KLA4J22</t>
  </si>
  <si>
    <t>Mercedes Actros</t>
  </si>
  <si>
    <t>Manutenção</t>
  </si>
  <si>
    <t>JXG9I11</t>
  </si>
  <si>
    <t>Fiat Fiorino</t>
  </si>
  <si>
    <t>Leve</t>
  </si>
  <si>
    <t>OPR3H44</t>
  </si>
  <si>
    <t>VW Delivery</t>
  </si>
  <si>
    <t>QRT5G66</t>
  </si>
  <si>
    <t>Toyota Hilux</t>
  </si>
  <si>
    <t>MNB1V22</t>
  </si>
  <si>
    <t>Volvo FH 540</t>
  </si>
  <si>
    <t>Sinistrado</t>
  </si>
  <si>
    <t>PLM0K99</t>
  </si>
  <si>
    <t>Renault Master</t>
  </si>
  <si>
    <t>ZXC8N77</t>
  </si>
  <si>
    <t>Ford Ranger</t>
  </si>
  <si>
    <t>Data</t>
  </si>
  <si>
    <t>Descrição</t>
  </si>
  <si>
    <t>Fornecedor</t>
  </si>
  <si>
    <t>Valor</t>
  </si>
  <si>
    <t>13/01/2026</t>
  </si>
  <si>
    <t>Preventiva</t>
  </si>
  <si>
    <t>Troca de Óleo</t>
  </si>
  <si>
    <t>Oficina Diesel</t>
  </si>
  <si>
    <t>28/01/2026</t>
  </si>
  <si>
    <t>Corretiva</t>
  </si>
  <si>
    <t>Pastilhas</t>
  </si>
  <si>
    <t>AutoCenter</t>
  </si>
  <si>
    <t>Revisão Geral</t>
  </si>
  <si>
    <t>EuroTruck</t>
  </si>
  <si>
    <t>Elétrica</t>
  </si>
  <si>
    <t>Elétrica Truck</t>
  </si>
  <si>
    <t>ID_Abast</t>
  </si>
  <si>
    <t>Km</t>
  </si>
  <si>
    <t>Litros</t>
  </si>
  <si>
    <t>Valor Total</t>
  </si>
  <si>
    <t>Posto</t>
  </si>
  <si>
    <t>Posto Ipiranga</t>
  </si>
  <si>
    <t>Posto Shell</t>
  </si>
  <si>
    <t>Posto BR</t>
  </si>
  <si>
    <t>ID_Manutenção</t>
  </si>
  <si>
    <t>SISTEMA DE GESTÃO DE FROTA | DASHBOARD OPERACIONAL</t>
  </si>
  <si>
    <t>VEÍCULOS TOTAIS</t>
  </si>
  <si>
    <t>TOTAL MANUTENÇÃO</t>
  </si>
  <si>
    <t>KM TOTAL RODADO</t>
  </si>
  <si>
    <t>Condutor</t>
  </si>
  <si>
    <t>Descricao</t>
  </si>
  <si>
    <t>Gravidade</t>
  </si>
  <si>
    <t>Custo</t>
  </si>
  <si>
    <t>Multa</t>
  </si>
  <si>
    <t>Joao Silva</t>
  </si>
  <si>
    <t>Velocidade</t>
  </si>
  <si>
    <t>Media</t>
  </si>
  <si>
    <t>Pendente</t>
  </si>
  <si>
    <t>&gt; Autenticando usuário...</t>
  </si>
  <si>
    <t>&gt; Conectando ao banco de dados...</t>
  </si>
  <si>
    <t>&gt; Verificando integridade da frota...</t>
  </si>
  <si>
    <t>&gt; SISTEMA PRONTO!</t>
  </si>
  <si>
    <t>CENTRAL DE INTELIGÊNCIA - FROTA PRO</t>
  </si>
  <si>
    <t>Revisão Necessária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</si>
</sst>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&quot;R$&quot;\ #,##0.00"/>
    <numFmt numFmtId="165" formatCode="#,##0\ &quot;Km&quot;"/>
  </numFmts>
  <fonts count="8" x14ac:knownFonts="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009600"/>
      <name val="Aptos Narrow"/>
      <family val="2"/>
      <scheme val="minor"/>
    </font>
    <font>
      <sz val="16"/>
      <color rgb="FFFFFFFF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2" fillId="5" borderId="0" xfId="0" applyFont="1" applyFill="1"/>
    <xf numFmtId="22" fontId="0" fillId="0" borderId="0" xfId="0" applyNumberFormat="1"/>
    <xf numFmtId="0" fontId="0" fillId="6" borderId="0" xfId="0" applyFill="1"/>
    <xf numFmtId="0" fontId="4" fillId="6" borderId="0" xfId="0" applyFont="1" applyFill="1"/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"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C000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6</xdr:row>
          <xdr:rowOff>0</xdr:rowOff>
        </xdr:from>
        <xdr:to>
          <xdr:col>1</xdr:col>
          <xdr:colOff>1930400</xdr:colOff>
          <xdr:row>8</xdr:row>
          <xdr:rowOff>76200</xdr:rowOff>
        </xdr:to>
        <xdr:sp macro="" textlink="">
          <xdr:nvSpPr>
            <xdr:cNvPr id="2058" name="Butto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1" i="0" u="none" strike="noStrike" baseline="0">
                  <a:solidFill>
                    <a:srgbClr val="000000"/>
                  </a:solidFill>
                  <a:latin typeface="Aptos Narrow"/>
                </a:rPr>
                <a:t>DASHBOARD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9</xdr:row>
          <xdr:rowOff>19050</xdr:rowOff>
        </xdr:from>
        <xdr:to>
          <xdr:col>1</xdr:col>
          <xdr:colOff>1930400</xdr:colOff>
          <xdr:row>11</xdr:row>
          <xdr:rowOff>95250</xdr:rowOff>
        </xdr:to>
        <xdr:sp macro="" textlink="">
          <xdr:nvSpPr>
            <xdr:cNvPr id="2059" name="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1" i="0" u="none" strike="noStrike" baseline="0">
                  <a:solidFill>
                    <a:srgbClr val="000000"/>
                  </a:solidFill>
                  <a:latin typeface="Aptos Narrow"/>
                </a:rPr>
                <a:t>FROTA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12</xdr:row>
          <xdr:rowOff>38100</xdr:rowOff>
        </xdr:from>
        <xdr:to>
          <xdr:col>1</xdr:col>
          <xdr:colOff>1930400</xdr:colOff>
          <xdr:row>14</xdr:row>
          <xdr:rowOff>114300</xdr:rowOff>
        </xdr:to>
        <xdr:sp macro="" textlink="">
          <xdr:nvSpPr>
            <xdr:cNvPr id="2060" name="Butto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1" i="0" u="none" strike="noStrike" baseline="0">
                  <a:solidFill>
                    <a:srgbClr val="000000"/>
                  </a:solidFill>
                  <a:latin typeface="Aptos Narrow"/>
                </a:rPr>
                <a:t>MANUTENCAO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15</xdr:row>
          <xdr:rowOff>57150</xdr:rowOff>
        </xdr:from>
        <xdr:to>
          <xdr:col>1</xdr:col>
          <xdr:colOff>1930400</xdr:colOff>
          <xdr:row>17</xdr:row>
          <xdr:rowOff>133350</xdr:rowOff>
        </xdr:to>
        <xdr:sp macro="" textlink="">
          <xdr:nvSpPr>
            <xdr:cNvPr id="2061" name="Butto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1" i="0" u="none" strike="noStrike" baseline="0">
                  <a:solidFill>
                    <a:srgbClr val="000000"/>
                  </a:solidFill>
                  <a:latin typeface="Aptos Narrow"/>
                </a:rPr>
                <a:t>ABASTECIMENTO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18</xdr:row>
          <xdr:rowOff>76200</xdr:rowOff>
        </xdr:from>
        <xdr:to>
          <xdr:col>1</xdr:col>
          <xdr:colOff>1930400</xdr:colOff>
          <xdr:row>20</xdr:row>
          <xdr:rowOff>152400</xdr:rowOff>
        </xdr:to>
        <xdr:sp macro="" textlink="">
          <xdr:nvSpPr>
            <xdr:cNvPr id="2062" name="Butto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1" i="0" u="none" strike="noStrike" baseline="0">
                  <a:solidFill>
                    <a:srgbClr val="000000"/>
                  </a:solidFill>
                  <a:latin typeface="Aptos Narrow"/>
                </a:rPr>
                <a:t>OCORRENCIAS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247650</xdr:colOff>
      <xdr:row>2</xdr:row>
      <xdr:rowOff>152400</xdr:rowOff>
    </xdr:from>
    <xdr:to>
      <xdr:col>10</xdr:col>
      <xdr:colOff>323850</xdr:colOff>
      <xdr:row>16</xdr:row>
      <xdr:rowOff>114300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iltroTipo">
              <a:extLst>
                <a:ext uri="{FF2B5EF4-FFF2-40B4-BE49-F238E27FC236}">
                  <a16:creationId xmlns:a16="http://schemas.microsoft.com/office/drawing/2014/main" id="{54150C5E-39EC-003F-DE59-75694481DF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7800" y="571500"/>
              <a:ext cx="1905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495300</xdr:colOff>
          <xdr:row>17</xdr:row>
          <xdr:rowOff>101600</xdr:rowOff>
        </xdr:from>
        <xdr:to>
          <xdr:col>10</xdr:col>
          <xdr:colOff>63500</xdr:colOff>
          <xdr:row>19</xdr:row>
          <xdr:rowOff>50800</xdr:rowOff>
        </xdr:to>
        <xdr:sp macro="" textlink="">
          <xdr:nvSpPr>
            <xdr:cNvPr id="3082" name="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 MENU INICIAL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514350</xdr:colOff>
          <xdr:row>13</xdr:row>
          <xdr:rowOff>38100</xdr:rowOff>
        </xdr:from>
        <xdr:to>
          <xdr:col>6</xdr:col>
          <xdr:colOff>692150</xdr:colOff>
          <xdr:row>14</xdr:row>
          <xdr:rowOff>171450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 MENU INICIAL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165100</xdr:colOff>
          <xdr:row>7</xdr:row>
          <xdr:rowOff>82550</xdr:rowOff>
        </xdr:from>
        <xdr:to>
          <xdr:col>1</xdr:col>
          <xdr:colOff>431800</xdr:colOff>
          <xdr:row>9</xdr:row>
          <xdr:rowOff>31750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 MENU INICIAL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82550</xdr:colOff>
          <xdr:row>9</xdr:row>
          <xdr:rowOff>50800</xdr:rowOff>
        </xdr:from>
        <xdr:to>
          <xdr:col>2</xdr:col>
          <xdr:colOff>146050</xdr:colOff>
          <xdr:row>11</xdr:row>
          <xdr:rowOff>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MENU INICIAL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254000</xdr:colOff>
          <xdr:row>14</xdr:row>
          <xdr:rowOff>0</xdr:rowOff>
        </xdr:from>
        <xdr:to>
          <xdr:col>3</xdr:col>
          <xdr:colOff>31750</xdr:colOff>
          <xdr:row>15</xdr:row>
          <xdr:rowOff>133350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 MENU INICIAL</a:t>
              </a:r>
            </a:p>
          </xdr:txBody>
        </xdr:sp>
        <xdr:clientData fPrintsWithSheet="0"/>
      </xdr:twoCellAnchor>
    </mc:Choice>
    <mc:Fallback/>
  </mc:AlternateContent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39AA169F-5A38-4929-8044-E1FB7C8268B2}" sourceName="Tipo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Tipo" xr10:uid="{DFD59522-76AC-48F3-A09B-1F9F8AF0DC08}" cache="SegmentaçãodeDados_Tipo" caption="Selecione o Tip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3575E-F00C-4852-8474-8B65E3724104}" name="TabelaFrota" displayName="TabelaFrota" ref="A1:G9" totalsRowShown="0">
  <autoFilter ref="A1:G9" xr:uid="{55F3575E-F00C-4852-8474-8B65E3724104}">
    <filterColumn colId="3">
      <filters>
        <filter val="Leve"/>
      </filters>
    </filterColumn>
  </autoFilter>
  <tableColumns count="7">
    <tableColumn id="1" xr3:uid="{B8E182D8-F73F-4F92-9456-64CF53557192}" name="ID"/>
    <tableColumn id="2" xr3:uid="{48B5AB05-EA39-4555-91EA-397FF734D4D1}" name="Placa"/>
    <tableColumn id="3" xr3:uid="{E45F69E5-D27E-4081-AF57-291941BBF298}" name="Modelo"/>
    <tableColumn id="4" xr3:uid="{6A407DE4-0C11-4C7C-BDF1-731F6BD1733B}" name="Tipo"/>
    <tableColumn id="5" xr3:uid="{2C26D014-FA51-4F1B-A8CD-3E569E04507C}" name="Ano"/>
    <tableColumn id="6" xr3:uid="{0CF0F885-ED89-4614-A2E2-75C8A2D8F004}" name="Status"/>
    <tableColumn id="7" xr3:uid="{B7DECA76-6AFE-475F-AF45-CD3975E02152}" name="Km At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324B98-885D-4F3A-B160-4E9BB3BF677B}" name="TabelaManutencao" displayName="TabelaManutencao" ref="A1:G5" totalsRowShown="0">
  <autoFilter ref="A1:G5" xr:uid="{A7324B98-885D-4F3A-B160-4E9BB3BF677B}"/>
  <tableColumns count="7">
    <tableColumn id="1" xr3:uid="{57BD46BC-98D2-4041-8256-A2737664B954}" name="ID_Manutenção"/>
    <tableColumn id="2" xr3:uid="{0F91D79A-A659-406F-9F41-DC4266DB4FF0}" name="Placa"/>
    <tableColumn id="3" xr3:uid="{B8B4B22F-DDDD-40F5-B123-EF500679C7C6}" name="Data"/>
    <tableColumn id="4" xr3:uid="{0195EAB7-105C-4554-AD39-FFFFA1CBCA60}" name="Tipo"/>
    <tableColumn id="5" xr3:uid="{61B44A03-C6BF-4FAA-BA9D-49711D214518}" name="Descrição"/>
    <tableColumn id="6" xr3:uid="{F683CB39-8DDC-44BD-8A20-645022E8BE89}" name="Fornecedor"/>
    <tableColumn id="7" xr3:uid="{20469E67-1561-4045-9B40-089C7FA5EE5D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B6577A-5C1B-4CBE-89C6-D779885925BD}" name="TabelaAbastecimento" displayName="TabelaAbastecimento" ref="A1:G5" totalsRowShown="0">
  <autoFilter ref="A1:G5" xr:uid="{EBB6577A-5C1B-4CBE-89C6-D779885925BD}"/>
  <tableColumns count="7">
    <tableColumn id="1" xr3:uid="{1A731B9C-441C-4BF1-8FCF-2D001866D823}" name="ID_Abast"/>
    <tableColumn id="2" xr3:uid="{9A7945A7-740D-48EE-A709-D072C72249AD}" name="Placa"/>
    <tableColumn id="3" xr3:uid="{E3FDA9BC-916D-49B5-A4C1-7F07D5E13466}" name="Data" dataDxfId="2"/>
    <tableColumn id="4" xr3:uid="{6878FAB2-E483-49FC-94D9-9F3B300754EE}" name="Km"/>
    <tableColumn id="5" xr3:uid="{1F27078E-FB25-4775-9426-0BB3DCAD46FC}" name="Litros"/>
    <tableColumn id="6" xr3:uid="{FE9B317B-E34D-4986-ADC6-1154EADD736D}" name="Valor Total"/>
    <tableColumn id="7" xr3:uid="{D0D5A753-B56A-4B4A-AFB8-4CFC45662B44}" name="Pos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5F17E7-2AED-4103-8A49-BCF3AE74A52F}" name="TabelaOcorrencias" displayName="TabelaOcorrencias" ref="A1:I2" totalsRowShown="0" headerRowDxfId="1">
  <autoFilter ref="A1:I2" xr:uid="{EB5F17E7-2AED-4103-8A49-BCF3AE74A52F}"/>
  <tableColumns count="9">
    <tableColumn id="1" xr3:uid="{292516B0-4135-401B-8C17-73AE6DA1AA70}" name="ID"/>
    <tableColumn id="2" xr3:uid="{74F4B988-8040-4D9B-B1D8-C5C207285999}" name="Placa"/>
    <tableColumn id="3" xr3:uid="{BD4AC7B4-CB3A-40E4-B55A-D29B728FD6FF}" name="Data" dataDxfId="0"/>
    <tableColumn id="4" xr3:uid="{CE8B0D92-BCF9-4E1F-A644-27BED8E782CB}" name="Tipo"/>
    <tableColumn id="5" xr3:uid="{D5808D6D-661A-47FC-BDCE-F169E424CB7F}" name="Condutor"/>
    <tableColumn id="6" xr3:uid="{43E0B670-7E78-46F6-9F25-0F8F213AC51F}" name="Descricao"/>
    <tableColumn id="7" xr3:uid="{0A75CD4F-8871-4E20-9F06-5FD7F3BD5A0E}" name="Gravidade"/>
    <tableColumn id="8" xr3:uid="{901B12CF-EF4F-4216-831B-02F8211F9D17}" name="Custo"/>
    <tableColumn id="9" xr3:uid="{C7D0D460-4971-45D0-956D-C91AB5C1EBD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E36A-CD40-4B56-B23A-311FC1CE51A5}">
  <sheetPr codeName="Planilha1"/>
  <dimension ref="B2:L20"/>
  <sheetViews>
    <sheetView tabSelected="1" workbookViewId="0">
      <selection activeCell="B4" sqref="B4"/>
    </sheetView>
  </sheetViews>
  <sheetFormatPr defaultRowHeight="14.5" x14ac:dyDescent="0.35"/>
  <cols>
    <col min="2" max="2" width="29.54296875" bestFit="1" customWidth="1"/>
    <col min="3" max="3" width="15.81640625" customWidth="1"/>
    <col min="4" max="4" width="15.7265625" customWidth="1"/>
    <col min="5" max="5" width="18.54296875" customWidth="1"/>
    <col min="6" max="6" width="16.36328125" customWidth="1"/>
    <col min="7" max="7" width="15.453125" customWidth="1"/>
    <col min="8" max="8" width="12.08984375" customWidth="1"/>
    <col min="9" max="9" width="14.08984375" customWidth="1"/>
    <col min="10" max="10" width="13.26953125" customWidth="1"/>
    <col min="11" max="11" width="12.1796875" customWidth="1"/>
    <col min="12" max="12" width="9.453125" customWidth="1"/>
  </cols>
  <sheetData>
    <row r="2" spans="2:12" ht="21" x14ac:dyDescent="0.35">
      <c r="B2" s="10" t="s">
        <v>70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ht="2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35">
      <c r="B4" s="8" t="s">
        <v>66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2:12" x14ac:dyDescent="0.35">
      <c r="B5" s="8" t="s">
        <v>67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2:12" x14ac:dyDescent="0.35">
      <c r="B6" s="8" t="s">
        <v>68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2:12" x14ac:dyDescent="0.35">
      <c r="B7" s="8" t="s">
        <v>69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2:12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2:12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2:12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2:12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2:12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2:12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2:12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2:12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2:12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2:12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2:12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2:12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</sheetData>
  <mergeCells count="1">
    <mergeCell ref="B2:L2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8" r:id="rId3" name="Button 10">
              <controlPr defaultSize="0" print="0" autoFill="0" autoPict="0" macro="[0]!'IrParaAba &quot;Dashboard&quot;'">
                <anchor moveWithCells="1" sizeWithCells="1">
                  <from>
                    <xdr:col>1</xdr:col>
                    <xdr:colOff>25400</xdr:colOff>
                    <xdr:row>6</xdr:row>
                    <xdr:rowOff>0</xdr:rowOff>
                  </from>
                  <to>
                    <xdr:col>1</xdr:col>
                    <xdr:colOff>1930400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4" name="Button 11">
              <controlPr defaultSize="0" print="0" autoFill="0" autoPict="0" macro="[0]!'IrParaAba &quot;Frota&quot;'">
                <anchor moveWithCells="1" sizeWithCells="1">
                  <from>
                    <xdr:col>1</xdr:col>
                    <xdr:colOff>25400</xdr:colOff>
                    <xdr:row>9</xdr:row>
                    <xdr:rowOff>19050</xdr:rowOff>
                  </from>
                  <to>
                    <xdr:col>1</xdr:col>
                    <xdr:colOff>1930400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5" name="Button 12">
              <controlPr defaultSize="0" print="0" autoFill="0" autoPict="0" macro="[0]!'IrParaAba &quot;Manutencao&quot;'">
                <anchor moveWithCells="1" sizeWithCells="1">
                  <from>
                    <xdr:col>1</xdr:col>
                    <xdr:colOff>25400</xdr:colOff>
                    <xdr:row>12</xdr:row>
                    <xdr:rowOff>38100</xdr:rowOff>
                  </from>
                  <to>
                    <xdr:col>1</xdr:col>
                    <xdr:colOff>1930400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6" name="Button 13">
              <controlPr defaultSize="0" print="0" autoFill="0" autoPict="0" macro="[0]!'IrParaAba &quot;Abastecimento&quot;'">
                <anchor moveWithCells="1" sizeWithCells="1">
                  <from>
                    <xdr:col>1</xdr:col>
                    <xdr:colOff>25400</xdr:colOff>
                    <xdr:row>15</xdr:row>
                    <xdr:rowOff>57150</xdr:rowOff>
                  </from>
                  <to>
                    <xdr:col>1</xdr:col>
                    <xdr:colOff>1930400</xdr:colOff>
                    <xdr:row>17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7" name="Button 14">
              <controlPr defaultSize="0" print="0" autoFill="0" autoPict="0" macro="[0]!'IrParaAba &quot;Ocorrencias&quot;'">
                <anchor moveWithCells="1" sizeWithCells="1">
                  <from>
                    <xdr:col>1</xdr:col>
                    <xdr:colOff>25400</xdr:colOff>
                    <xdr:row>18</xdr:row>
                    <xdr:rowOff>76200</xdr:rowOff>
                  </from>
                  <to>
                    <xdr:col>1</xdr:col>
                    <xdr:colOff>1930400</xdr:colOff>
                    <xdr:row>20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3ACC-DADE-41EF-8F2D-791D76DDA2E1}">
  <sheetPr codeName="Planilha2">
    <tabColor rgb="FF0000FF"/>
  </sheetPr>
  <dimension ref="B2:L5"/>
  <sheetViews>
    <sheetView workbookViewId="0">
      <selection activeCell="D5" sqref="D5"/>
    </sheetView>
  </sheetViews>
  <sheetFormatPr defaultRowHeight="14.5" x14ac:dyDescent="0.35"/>
  <cols>
    <col min="2" max="2" width="23.54296875" bestFit="1" customWidth="1"/>
    <col min="3" max="3" width="11.453125" customWidth="1"/>
    <col min="4" max="4" width="16.1796875" bestFit="1" customWidth="1"/>
    <col min="5" max="5" width="22.7265625" bestFit="1" customWidth="1"/>
    <col min="6" max="6" width="16.7265625" bestFit="1" customWidth="1"/>
  </cols>
  <sheetData>
    <row r="2" spans="2:12" ht="18.5" x14ac:dyDescent="0.45">
      <c r="B2" s="11" t="s">
        <v>53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2:12" x14ac:dyDescent="0.35">
      <c r="B4" s="2" t="s">
        <v>54</v>
      </c>
      <c r="C4" s="2"/>
      <c r="D4" s="2" t="s">
        <v>55</v>
      </c>
      <c r="E4" s="2"/>
      <c r="F4" s="2" t="s">
        <v>56</v>
      </c>
      <c r="G4" s="2"/>
    </row>
    <row r="5" spans="2:12" x14ac:dyDescent="0.35">
      <c r="B5" s="2">
        <f>ROWS(TabelaFrota[])</f>
        <v>8</v>
      </c>
      <c r="C5" s="2"/>
      <c r="D5" s="3">
        <f>SUM(Manutencao!G:G)</f>
        <v>14930</v>
      </c>
      <c r="E5" s="2"/>
      <c r="F5" s="4">
        <f>SUM(TabelaFrota[Km Atual])</f>
        <v>6218688</v>
      </c>
      <c r="G5" s="2"/>
    </row>
  </sheetData>
  <mergeCells count="1">
    <mergeCell ref="B2:L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2" r:id="rId4" name="Button 10">
              <controlPr defaultSize="0" print="0" autoFill="0" autoPict="0" macro="[0]!IrHome">
                <anchor moveWithCells="1" sizeWithCells="1">
                  <from>
                    <xdr:col>7</xdr:col>
                    <xdr:colOff>495300</xdr:colOff>
                    <xdr:row>17</xdr:row>
                    <xdr:rowOff>101600</xdr:rowOff>
                  </from>
                  <to>
                    <xdr:col>10</xdr:col>
                    <xdr:colOff>63500</xdr:colOff>
                    <xdr:row>19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5327-8E8A-47D7-9BB8-3591D32C5763}">
  <sheetPr codeName="Planilha3"/>
  <dimension ref="A1:G9"/>
  <sheetViews>
    <sheetView workbookViewId="0">
      <selection activeCell="K21" sqref="K21"/>
    </sheetView>
  </sheetViews>
  <sheetFormatPr defaultRowHeight="14.5" x14ac:dyDescent="0.35"/>
  <cols>
    <col min="3" max="3" width="8.90625" customWidth="1"/>
    <col min="7" max="7" width="10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>
        <v>1</v>
      </c>
      <c r="B2" t="s">
        <v>7</v>
      </c>
      <c r="C2" t="s">
        <v>8</v>
      </c>
      <c r="D2" t="s">
        <v>9</v>
      </c>
      <c r="E2">
        <v>2022</v>
      </c>
      <c r="F2" t="s">
        <v>10</v>
      </c>
      <c r="G2">
        <v>125400</v>
      </c>
    </row>
    <row r="3" spans="1:7" hidden="1" x14ac:dyDescent="0.35">
      <c r="A3">
        <v>2</v>
      </c>
      <c r="B3" t="s">
        <v>11</v>
      </c>
      <c r="C3" t="s">
        <v>12</v>
      </c>
      <c r="D3" t="s">
        <v>9</v>
      </c>
      <c r="E3">
        <v>2021</v>
      </c>
      <c r="F3" t="s">
        <v>13</v>
      </c>
      <c r="G3">
        <v>189000</v>
      </c>
    </row>
    <row r="4" spans="1:7" x14ac:dyDescent="0.35">
      <c r="A4">
        <v>3</v>
      </c>
      <c r="B4" t="s">
        <v>14</v>
      </c>
      <c r="C4" t="s">
        <v>15</v>
      </c>
      <c r="D4" t="s">
        <v>16</v>
      </c>
      <c r="E4">
        <v>2023</v>
      </c>
      <c r="F4" t="s">
        <v>10</v>
      </c>
      <c r="G4">
        <v>12400</v>
      </c>
    </row>
    <row r="5" spans="1:7" hidden="1" x14ac:dyDescent="0.35">
      <c r="A5">
        <v>4</v>
      </c>
      <c r="B5" t="s">
        <v>17</v>
      </c>
      <c r="C5" t="s">
        <v>18</v>
      </c>
      <c r="D5" t="s">
        <v>9</v>
      </c>
      <c r="E5">
        <v>2020</v>
      </c>
      <c r="F5" t="s">
        <v>71</v>
      </c>
      <c r="G5">
        <v>5666688</v>
      </c>
    </row>
    <row r="6" spans="1:7" x14ac:dyDescent="0.35">
      <c r="A6">
        <v>5</v>
      </c>
      <c r="B6" t="s">
        <v>19</v>
      </c>
      <c r="C6" t="s">
        <v>20</v>
      </c>
      <c r="D6" t="s">
        <v>16</v>
      </c>
      <c r="E6">
        <v>2024</v>
      </c>
      <c r="F6" t="s">
        <v>10</v>
      </c>
      <c r="G6">
        <v>5200</v>
      </c>
    </row>
    <row r="7" spans="1:7" hidden="1" x14ac:dyDescent="0.35">
      <c r="A7">
        <v>6</v>
      </c>
      <c r="B7" t="s">
        <v>21</v>
      </c>
      <c r="C7" t="s">
        <v>22</v>
      </c>
      <c r="D7" t="s">
        <v>9</v>
      </c>
      <c r="E7">
        <v>2023</v>
      </c>
      <c r="F7" t="s">
        <v>23</v>
      </c>
      <c r="G7">
        <v>45000</v>
      </c>
    </row>
    <row r="8" spans="1:7" x14ac:dyDescent="0.35">
      <c r="A8">
        <v>7</v>
      </c>
      <c r="B8" t="s">
        <v>24</v>
      </c>
      <c r="C8" t="s">
        <v>25</v>
      </c>
      <c r="D8" t="s">
        <v>16</v>
      </c>
      <c r="E8">
        <v>2019</v>
      </c>
      <c r="F8" t="s">
        <v>10</v>
      </c>
      <c r="G8">
        <v>142000</v>
      </c>
    </row>
    <row r="9" spans="1:7" x14ac:dyDescent="0.35">
      <c r="A9">
        <v>8</v>
      </c>
      <c r="B9" t="s">
        <v>26</v>
      </c>
      <c r="C9" t="s">
        <v>27</v>
      </c>
      <c r="D9" t="s">
        <v>16</v>
      </c>
      <c r="E9">
        <v>2022</v>
      </c>
      <c r="F9" t="s">
        <v>10</v>
      </c>
      <c r="G9">
        <v>33000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3" name="Button 2">
              <controlPr defaultSize="0" print="0" autoFill="0" autoPict="0" macro="[0]!IrHome">
                <anchor moveWithCells="1" sizeWithCells="1">
                  <from>
                    <xdr:col>4</xdr:col>
                    <xdr:colOff>514350</xdr:colOff>
                    <xdr:row>13</xdr:row>
                    <xdr:rowOff>38100</xdr:rowOff>
                  </from>
                  <to>
                    <xdr:col>6</xdr:col>
                    <xdr:colOff>692150</xdr:colOff>
                    <xdr:row>14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4F7A-5777-46A1-ABC9-C4CE14E34EF3}">
  <sheetPr codeName="Planilha4"/>
  <dimension ref="A1:G5"/>
  <sheetViews>
    <sheetView workbookViewId="0">
      <selection activeCell="C13" sqref="C13"/>
    </sheetView>
  </sheetViews>
  <sheetFormatPr defaultRowHeight="14.5" x14ac:dyDescent="0.35"/>
  <cols>
    <col min="1" max="1" width="16.1796875" bestFit="1" customWidth="1"/>
    <col min="3" max="3" width="10.08984375" bestFit="1" customWidth="1"/>
    <col min="4" max="4" width="9.26953125" bestFit="1" customWidth="1"/>
    <col min="5" max="5" width="11.90625" bestFit="1" customWidth="1"/>
    <col min="6" max="6" width="12.54296875" bestFit="1" customWidth="1"/>
    <col min="7" max="7" width="7.36328125" bestFit="1" customWidth="1"/>
  </cols>
  <sheetData>
    <row r="1" spans="1:7" x14ac:dyDescent="0.35">
      <c r="A1" t="s">
        <v>52</v>
      </c>
      <c r="B1" t="s">
        <v>1</v>
      </c>
      <c r="C1" t="s">
        <v>28</v>
      </c>
      <c r="D1" t="s">
        <v>3</v>
      </c>
      <c r="E1" t="s">
        <v>29</v>
      </c>
      <c r="F1" t="s">
        <v>30</v>
      </c>
      <c r="G1" t="s">
        <v>31</v>
      </c>
    </row>
    <row r="2" spans="1:7" x14ac:dyDescent="0.35">
      <c r="A2">
        <v>101</v>
      </c>
      <c r="B2" t="s">
        <v>7</v>
      </c>
      <c r="C2" t="s">
        <v>32</v>
      </c>
      <c r="D2" t="s">
        <v>33</v>
      </c>
      <c r="E2" t="s">
        <v>34</v>
      </c>
      <c r="F2" t="s">
        <v>35</v>
      </c>
      <c r="G2">
        <v>2450</v>
      </c>
    </row>
    <row r="3" spans="1:7" x14ac:dyDescent="0.35">
      <c r="A3">
        <v>102</v>
      </c>
      <c r="B3" t="s">
        <v>14</v>
      </c>
      <c r="C3" t="s">
        <v>36</v>
      </c>
      <c r="D3" t="s">
        <v>37</v>
      </c>
      <c r="E3" t="s">
        <v>38</v>
      </c>
      <c r="F3" t="s">
        <v>39</v>
      </c>
      <c r="G3">
        <v>480</v>
      </c>
    </row>
    <row r="4" spans="1:7" x14ac:dyDescent="0.35">
      <c r="A4">
        <v>103</v>
      </c>
      <c r="B4" t="s">
        <v>11</v>
      </c>
      <c r="C4" s="1">
        <v>46205</v>
      </c>
      <c r="D4" t="s">
        <v>33</v>
      </c>
      <c r="E4" t="s">
        <v>40</v>
      </c>
      <c r="F4" t="s">
        <v>41</v>
      </c>
      <c r="G4">
        <v>5800</v>
      </c>
    </row>
    <row r="5" spans="1:7" x14ac:dyDescent="0.35">
      <c r="A5">
        <v>104</v>
      </c>
      <c r="B5" t="s">
        <v>17</v>
      </c>
      <c r="C5" s="1">
        <v>46358</v>
      </c>
      <c r="D5" t="s">
        <v>37</v>
      </c>
      <c r="E5" t="s">
        <v>42</v>
      </c>
      <c r="F5" t="s">
        <v>43</v>
      </c>
      <c r="G5">
        <v>6200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IrHome">
                <anchor moveWithCells="1" sizeWithCells="1">
                  <from>
                    <xdr:col>0</xdr:col>
                    <xdr:colOff>165100</xdr:colOff>
                    <xdr:row>7</xdr:row>
                    <xdr:rowOff>82550</xdr:rowOff>
                  </from>
                  <to>
                    <xdr:col>1</xdr:col>
                    <xdr:colOff>431800</xdr:colOff>
                    <xdr:row>9</xdr:row>
                    <xdr:rowOff>31750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7B66-BAA3-4169-9082-0068E535585C}">
  <sheetPr codeName="Planilha5"/>
  <dimension ref="A1:G5"/>
  <sheetViews>
    <sheetView workbookViewId="0">
      <selection activeCell="H17" sqref="H17"/>
    </sheetView>
  </sheetViews>
  <sheetFormatPr defaultRowHeight="14.5" x14ac:dyDescent="0.35"/>
  <cols>
    <col min="1" max="1" width="10.453125" bestFit="1" customWidth="1"/>
    <col min="2" max="2" width="8.6328125" bestFit="1" customWidth="1"/>
    <col min="3" max="3" width="10.08984375" bestFit="1" customWidth="1"/>
    <col min="5" max="5" width="7.7265625" bestFit="1" customWidth="1"/>
    <col min="6" max="6" width="11.81640625" bestFit="1" customWidth="1"/>
    <col min="7" max="7" width="12.26953125" bestFit="1" customWidth="1"/>
  </cols>
  <sheetData>
    <row r="1" spans="1:7" x14ac:dyDescent="0.35">
      <c r="A1" t="s">
        <v>44</v>
      </c>
      <c r="B1" t="s">
        <v>1</v>
      </c>
      <c r="C1" t="s">
        <v>28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5">
      <c r="A2">
        <v>501</v>
      </c>
      <c r="B2" t="s">
        <v>7</v>
      </c>
      <c r="C2" s="1">
        <v>46055</v>
      </c>
      <c r="D2">
        <v>125400</v>
      </c>
      <c r="E2">
        <v>400</v>
      </c>
      <c r="F2">
        <v>2360</v>
      </c>
      <c r="G2" t="s">
        <v>49</v>
      </c>
    </row>
    <row r="3" spans="1:7" x14ac:dyDescent="0.35">
      <c r="A3">
        <v>502</v>
      </c>
      <c r="B3" t="s">
        <v>14</v>
      </c>
      <c r="C3" s="1">
        <v>46114</v>
      </c>
      <c r="D3">
        <v>12400</v>
      </c>
      <c r="E3">
        <v>45</v>
      </c>
      <c r="F3">
        <v>261</v>
      </c>
      <c r="G3" t="s">
        <v>50</v>
      </c>
    </row>
    <row r="4" spans="1:7" x14ac:dyDescent="0.35">
      <c r="A4">
        <v>503</v>
      </c>
      <c r="B4" t="s">
        <v>19</v>
      </c>
      <c r="C4" s="1">
        <v>46205</v>
      </c>
      <c r="D4">
        <v>5200</v>
      </c>
      <c r="E4">
        <v>70</v>
      </c>
      <c r="F4">
        <v>413</v>
      </c>
      <c r="G4" t="s">
        <v>51</v>
      </c>
    </row>
    <row r="5" spans="1:7" x14ac:dyDescent="0.35">
      <c r="A5">
        <v>504</v>
      </c>
      <c r="B5" t="s">
        <v>17</v>
      </c>
      <c r="C5" s="1">
        <v>46328</v>
      </c>
      <c r="D5">
        <v>95000</v>
      </c>
      <c r="E5">
        <v>180</v>
      </c>
      <c r="F5">
        <v>30000</v>
      </c>
      <c r="G5" t="s">
        <v>49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3" name="Button 2">
              <controlPr defaultSize="0" print="0" autoFill="0" autoPict="0" macro="[0]!IrHome">
                <anchor moveWithCells="1" sizeWithCells="1">
                  <from>
                    <xdr:col>0</xdr:col>
                    <xdr:colOff>82550</xdr:colOff>
                    <xdr:row>9</xdr:row>
                    <xdr:rowOff>50800</xdr:rowOff>
                  </from>
                  <to>
                    <xdr:col>2</xdr:col>
                    <xdr:colOff>146050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7E52-B5E9-4465-A594-99DBCD56B9C3}">
  <sheetPr codeName="Planilha6"/>
  <dimension ref="A1:I2"/>
  <sheetViews>
    <sheetView workbookViewId="0">
      <selection activeCell="H2" sqref="H2"/>
    </sheetView>
  </sheetViews>
  <sheetFormatPr defaultRowHeight="14.5" x14ac:dyDescent="0.35"/>
  <cols>
    <col min="1" max="1" width="4.90625" bestFit="1" customWidth="1"/>
    <col min="2" max="2" width="8.08984375" bestFit="1" customWidth="1"/>
    <col min="3" max="3" width="15.08984375" bestFit="1" customWidth="1"/>
    <col min="4" max="4" width="6.6328125" bestFit="1" customWidth="1"/>
    <col min="5" max="5" width="10.90625" bestFit="1" customWidth="1"/>
    <col min="6" max="6" width="11.453125" bestFit="1" customWidth="1"/>
    <col min="7" max="7" width="11.6328125" bestFit="1" customWidth="1"/>
    <col min="8" max="8" width="8" bestFit="1" customWidth="1"/>
    <col min="9" max="9" width="8.54296875" bestFit="1" customWidth="1"/>
  </cols>
  <sheetData>
    <row r="1" spans="1:9" x14ac:dyDescent="0.35">
      <c r="A1" s="5" t="s">
        <v>0</v>
      </c>
      <c r="B1" s="5" t="s">
        <v>1</v>
      </c>
      <c r="C1" s="5" t="s">
        <v>28</v>
      </c>
      <c r="D1" s="5" t="s">
        <v>3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5</v>
      </c>
    </row>
    <row r="2" spans="1:9" x14ac:dyDescent="0.35">
      <c r="A2">
        <v>1</v>
      </c>
      <c r="B2" t="s">
        <v>7</v>
      </c>
      <c r="C2" s="6">
        <v>46065.980185185188</v>
      </c>
      <c r="D2" t="s">
        <v>61</v>
      </c>
      <c r="E2" t="s">
        <v>62</v>
      </c>
      <c r="F2" t="s">
        <v>63</v>
      </c>
      <c r="G2" t="s">
        <v>64</v>
      </c>
      <c r="H2">
        <v>195.23</v>
      </c>
      <c r="I2" t="s">
        <v>65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3" name="Button 2">
              <controlPr defaultSize="0" print="0" autoFill="0" autoPict="0" macro="[0]!IrHome">
                <anchor moveWithCells="1" sizeWithCells="1">
                  <from>
                    <xdr:col>1</xdr:col>
                    <xdr:colOff>254000</xdr:colOff>
                    <xdr:row>14</xdr:row>
                    <xdr:rowOff>0</xdr:rowOff>
                  </from>
                  <to>
                    <xdr:col>3</xdr:col>
                    <xdr:colOff>31750</xdr:colOff>
                    <xdr:row>15</xdr:row>
                    <xdr:rowOff>133350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SISTEMA DE GESTÃO</vt:lpstr>
      <vt:lpstr>Dashboard</vt:lpstr>
      <vt:lpstr>Frota</vt:lpstr>
      <vt:lpstr>Manutencao</vt:lpstr>
      <vt:lpstr>Abastecimento</vt:lpstr>
      <vt:lpstr>Ocorrencias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Claudean Soares</dc:creator>
  <cp:lastModifiedBy>Claudean Soares</cp:lastModifiedBy>
  <dcterms:created xsi:type="dcterms:W3CDTF">2026-02-12T22:39:55Z</dcterms:created>
  <dcterms:modified xsi:type="dcterms:W3CDTF">2026-02-13T05:00:38Z</dcterms:modified>
</cp:coreProperties>
</file>